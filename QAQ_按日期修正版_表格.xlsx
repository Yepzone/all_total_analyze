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按日期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<sst xmlns="http://schemas.openxmlformats.org/spreadsheetml/2006/main" count="32" uniqueCount="31">
  <si>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日期</t>
  </si>
  <si>
    <t>已审批</t>
  </si>
  <si>
    <t>待审批</t>
  </si>
  <si>
    <t>总分钟</t>
  </si>
  <si>
    <t>合格分钟</t>
  </si>
  <si>
    <t>总小时</t>
  </si>
  <si>
    <t>合格小时</t>
  </si>
  <si>
    <t>合格率</t>
  </si>
  <si>
    <t>2026-03-23~27</t>
  </si>
  <si>
    <t>75.0%</t>
  </si>
  <si>
    <t>2026-03-28</t>
  </si>
  <si>
    <t>98.0%</t>
  </si>
  <si>
    <t>2026-03-29</t>
  </si>
  <si>
    <t>74.9%</t>
  </si>
  <si>
    <t>2026-03-30</t>
  </si>
  <si>
    <t>46.7%</t>
  </si>
  <si>
    <t>2026-03-31</t>
  </si>
  <si>
    <t>69.8%</t>
  </si>
  <si>
    <t>2026-04-01</t>
  </si>
  <si>
    <t>61.8%</t>
  </si>
  <si>
    <t>2026-04-02</t>
  </si>
  <si>
    <t>25.5%</t>
  </si>
  <si>
    <t>2026-04-03</t>
  </si>
  <si>
    <t>19.6%</t>
  </si>
  <si>
    <t>2026-04-04</t>
  </si>
  <si>
    <t>0.0%</t>
  </si>
  <si>
    <t>2026-04-05</t>
  </si>
  <si>
    <t>2026-04-06</t>
  </si>
  <si>
    <t>71.9%</t>
  </si>
  <si>
    <t>2026-04-07</t>
  </si>
  <si>
    <t>62.8%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</si>
</sst>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pane ySplit="1" topLeftCell="A2" activePane="bottomLeft" state="frozen"/>
      <selection/>
      <selection pane="bottomLeft" activeCell="I14" sqref="A2:I14"/>
    </sheetView>
  </sheetViews>
  <sheetFormatPr defaultColWidth="9" defaultRowHeight="13.5"/>
  <cols>
    <col min="1" max="1" width="14" customWidth="1"/>
    <col min="2" max="8" width="1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>
      <c r="A2" s="2" t="s">
        <v>8</v>
      </c>
      <c r="B2" s="2">
        <v>561</v>
      </c>
      <c r="C2" s="2">
        <v>0</v>
      </c>
      <c r="D2" s="2">
        <v>1955.6</v>
      </c>
      <c r="E2" s="2">
        <v>1466.28</v>
      </c>
      <c r="F2" s="2">
        <v>32.59</v>
      </c>
      <c r="G2" s="2">
        <v>24.44</v>
      </c>
      <c r="H2" s="3" t="s">
        <v>9</v>
      </c>
      <c r="I2">
        <v>0.75</v>
      </c>
    </row>
    <row r="3" spans="1:9">
      <c r="A3" s="2" t="s">
        <v>10</v>
      </c>
      <c r="B3" s="2">
        <v>17</v>
      </c>
      <c r="C3" s="2">
        <v>0</v>
      </c>
      <c r="D3" s="2">
        <v>126.6</v>
      </c>
      <c r="E3" s="2">
        <v>124.01</v>
      </c>
      <c r="F3" s="2">
        <v>2.11</v>
      </c>
      <c r="G3" s="2">
        <v>2.07</v>
      </c>
      <c r="H3" s="3" t="s">
        <v>11</v>
      </c>
      <c r="I3">
        <v>0.95</v>
      </c>
    </row>
    <row r="4" spans="1:9">
      <c r="A4" s="2" t="s">
        <v>12</v>
      </c>
      <c r="B4" s="2">
        <v>82</v>
      </c>
      <c r="C4" s="2">
        <v>0</v>
      </c>
      <c r="D4" s="2">
        <v>541.9</v>
      </c>
      <c r="E4" s="2">
        <v>405.99</v>
      </c>
      <c r="F4" s="2">
        <v>9.03</v>
      </c>
      <c r="G4" s="2">
        <v>6.77</v>
      </c>
      <c r="H4" s="3" t="s">
        <v>13</v>
      </c>
      <c r="I4">
        <v>0.749</v>
      </c>
    </row>
    <row r="5" spans="1:9">
      <c r="A5" s="2" t="s">
        <v>14</v>
      </c>
      <c r="B5" s="2">
        <v>372</v>
      </c>
      <c r="C5" s="2">
        <v>26</v>
      </c>
      <c r="D5" s="2">
        <v>1994.8</v>
      </c>
      <c r="E5" s="2">
        <v>932.49</v>
      </c>
      <c r="F5" s="2">
        <v>33.25</v>
      </c>
      <c r="G5" s="2">
        <v>15.54</v>
      </c>
      <c r="H5" s="4" t="s">
        <v>15</v>
      </c>
      <c r="I5">
        <v>0.467</v>
      </c>
    </row>
    <row r="6" spans="1:9">
      <c r="A6" s="2" t="s">
        <v>16</v>
      </c>
      <c r="B6" s="2">
        <v>531</v>
      </c>
      <c r="C6" s="2">
        <v>87</v>
      </c>
      <c r="D6" s="2">
        <v>2849.7</v>
      </c>
      <c r="E6" s="2">
        <v>1989.77</v>
      </c>
      <c r="F6" s="2">
        <v>47.5</v>
      </c>
      <c r="G6" s="2">
        <v>33.16</v>
      </c>
      <c r="H6" s="5" t="s">
        <v>17</v>
      </c>
      <c r="I6">
        <v>0.698</v>
      </c>
    </row>
    <row r="7" spans="1:9">
      <c r="A7" s="2" t="s">
        <v>18</v>
      </c>
      <c r="B7" s="2">
        <v>712</v>
      </c>
      <c r="C7" s="2">
        <v>101</v>
      </c>
      <c r="D7" s="2">
        <v>3258.8</v>
      </c>
      <c r="E7" s="2">
        <v>2015.22</v>
      </c>
      <c r="F7" s="2">
        <v>54.31</v>
      </c>
      <c r="G7" s="2">
        <v>33.59</v>
      </c>
      <c r="H7" s="5" t="s">
        <v>19</v>
      </c>
      <c r="I7">
        <v>0.618</v>
      </c>
    </row>
    <row r="8" spans="1:9">
      <c r="A8" s="2" t="s">
        <v>20</v>
      </c>
      <c r="B8" s="2">
        <v>263</v>
      </c>
      <c r="C8" s="2">
        <v>602</v>
      </c>
      <c r="D8" s="2">
        <v>3055.9</v>
      </c>
      <c r="E8" s="2">
        <v>780.69</v>
      </c>
      <c r="F8" s="2">
        <v>50.93</v>
      </c>
      <c r="G8" s="2">
        <v>13.01</v>
      </c>
      <c r="H8" s="4" t="s">
        <v>21</v>
      </c>
      <c r="I8">
        <v>0.255</v>
      </c>
    </row>
    <row r="9" spans="1:9">
      <c r="A9" s="2" t="s">
        <v>22</v>
      </c>
      <c r="B9" s="2">
        <v>102</v>
      </c>
      <c r="C9" s="2">
        <v>478</v>
      </c>
      <c r="D9" s="2">
        <v>3143.4</v>
      </c>
      <c r="E9" s="2">
        <v>615.61</v>
      </c>
      <c r="F9" s="2">
        <v>52.39</v>
      </c>
      <c r="G9" s="2">
        <v>10.26</v>
      </c>
      <c r="H9" s="4" t="s">
        <v>23</v>
      </c>
      <c r="I9">
        <v>0.196</v>
      </c>
    </row>
    <row r="10" spans="1:9">
      <c r="A10" s="2" t="s">
        <v>24</v>
      </c>
      <c r="B10" s="2">
        <v>0</v>
      </c>
      <c r="C10" s="2">
        <v>214</v>
      </c>
      <c r="D10" s="2">
        <v>1239.1</v>
      </c>
      <c r="E10" s="2">
        <v>0</v>
      </c>
      <c r="F10" s="2">
        <v>20.65</v>
      </c>
      <c r="G10" s="2">
        <v>0</v>
      </c>
      <c r="H10" s="4" t="s">
        <v>25</v>
      </c>
    </row>
    <row r="11" spans="1:9">
      <c r="A11" s="2" t="s">
        <v>26</v>
      </c>
      <c r="B11" s="2">
        <v>0</v>
      </c>
      <c r="C11" s="2">
        <v>88</v>
      </c>
      <c r="D11" s="2">
        <v>602.7</v>
      </c>
      <c r="E11" s="2">
        <v>0</v>
      </c>
      <c r="F11" s="2">
        <v>10.04</v>
      </c>
      <c r="G11" s="2">
        <v>0</v>
      </c>
      <c r="H11" s="4" t="s">
        <v>25</v>
      </c>
    </row>
    <row r="12" spans="1:9">
      <c r="A12" s="2" t="s">
        <v>27</v>
      </c>
      <c r="B12" s="2">
        <v>93</v>
      </c>
      <c r="C12" s="2">
        <v>32</v>
      </c>
      <c r="D12" s="2">
        <v>822.5</v>
      </c>
      <c r="E12" s="2">
        <v>591</v>
      </c>
      <c r="F12" s="2">
        <v>13.71</v>
      </c>
      <c r="G12" s="2">
        <v>9.85</v>
      </c>
      <c r="H12" s="3" t="s">
        <v>28</v>
      </c>
      <c r="I12">
        <v>0.719</v>
      </c>
    </row>
    <row r="13" spans="1:9">
      <c r="A13" s="2" t="s">
        <v>29</v>
      </c>
      <c r="B13" s="2">
        <v>336</v>
      </c>
      <c r="C13" s="2">
        <v>100</v>
      </c>
      <c r="D13" s="2">
        <v>2362.5</v>
      </c>
      <c r="E13" s="2">
        <v>1484.19</v>
      </c>
      <c r="F13" s="2">
        <v>39.37</v>
      </c>
      <c r="G13" s="2">
        <v>24.74</v>
      </c>
      <c r="H13" s="5" t="s">
        <v>30</v>
      </c>
      <c r="I13">
        <v>0.628</v>
      </c>
    </row>
    <row r="14" spans="1:9">
      <c r="B14">
        <f>SUM(B2:B13)</f>
        <v>3069</v>
      </c>
      <c r="C14">
        <f t="shared" ref="C14:H14" si="0">SUM(C2:C13)</f>
        <v>1728</v>
      </c>
      <c r="D14">
        <f t="shared" si="0"/>
        <v>21953.5</v>
      </c>
      <c r="E14">
        <f t="shared" si="0"/>
        <v>10405.25</v>
      </c>
      <c r="F14">
        <f t="shared" si="0"/>
        <v>365.88</v>
      </c>
      <c r="G14">
        <f t="shared" si="0"/>
        <v>173.43</v>
      </c>
      <c r="H14" s="6"/>
      <c r="I14">
        <f>AVERAGE(I2:I13)</f>
        <v>0.603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按日期统计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嘘声</cp:lastModifiedBy>
  <dcterms:created xsi:type="dcterms:W3CDTF">2026-04-10T07:01:00Z</dcterms:created>
  <dcterms:modified xsi:type="dcterms:W3CDTF">2026-04-10T09:13:26Z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2F508292A78C429BA11B7B00B16EF0DF_12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